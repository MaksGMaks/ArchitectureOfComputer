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770" windowHeight="129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<sst xmlns="http://schemas.openxmlformats.org/spreadsheetml/2006/main" count="226" uniqueCount="100">
  <si>
    <t>55-51</t>
  </si>
  <si>
    <t>50-44</t>
  </si>
  <si>
    <t>43-22</t>
  </si>
  <si>
    <t>21-0</t>
  </si>
  <si>
    <t>HEX</t>
  </si>
  <si>
    <t xml:space="preserve"> BIN</t>
  </si>
  <si>
    <t>DEC</t>
  </si>
  <si>
    <t>opcode</t>
  </si>
  <si>
    <t>операнд 1</t>
  </si>
  <si>
    <t>операнд 2</t>
  </si>
  <si>
    <t>операнд 3</t>
  </si>
  <si>
    <t>Опис</t>
  </si>
  <si>
    <t>Операції з пам'яттю</t>
  </si>
  <si>
    <t>lw</t>
  </si>
  <si>
    <t>REG_A</t>
  </si>
  <si>
    <t>MEM_ADDR</t>
  </si>
  <si>
    <t>REG_A = MEM [MEM_ADDR]</t>
  </si>
  <si>
    <t>sw</t>
  </si>
  <si>
    <t>MEM [MEM_ADDR] = REG_A</t>
  </si>
  <si>
    <t>lr</t>
  </si>
  <si>
    <t>REG_B</t>
  </si>
  <si>
    <t>REG_B = REG_A</t>
  </si>
  <si>
    <t>swp</t>
  </si>
  <si>
    <t>REG_A &lt;=&gt; REG_B</t>
  </si>
  <si>
    <t>Арифметичні операції</t>
  </si>
  <si>
    <t>add</t>
  </si>
  <si>
    <t>DEST_REG</t>
  </si>
  <si>
    <t>DEST_REG = REG_A + REG_B</t>
  </si>
  <si>
    <t>sub</t>
  </si>
  <si>
    <t>DEST_REG = REG_A - REG_B</t>
  </si>
  <si>
    <t>xadd</t>
  </si>
  <si>
    <t>DEST_REG = REG_A + REG_B 
REG_A &lt;=&gt; REG_B</t>
  </si>
  <si>
    <t>xsub</t>
  </si>
  <si>
    <t>DEST_REG = REG_A - REG_B
REG_A &lt;=&gt; REG_B</t>
  </si>
  <si>
    <t>mul</t>
  </si>
  <si>
    <t>DEST_REG = |REG_A| * |REG_B|</t>
  </si>
  <si>
    <t>imul</t>
  </si>
  <si>
    <t>DEST_REG = REG_A * REG_B</t>
  </si>
  <si>
    <t>inc</t>
  </si>
  <si>
    <t>REG_A++</t>
  </si>
  <si>
    <t>dec</t>
  </si>
  <si>
    <t>REG_A--</t>
  </si>
  <si>
    <t>Логічні операції</t>
  </si>
  <si>
    <t>and</t>
  </si>
  <si>
    <t>DEST_REG = REG_A &amp; REG_B</t>
  </si>
  <si>
    <t>or</t>
  </si>
  <si>
    <t>DEST_REG = REG_A | REG_B</t>
  </si>
  <si>
    <t>xor</t>
  </si>
  <si>
    <t>DEST_REG = REG_A ^ REG_B</t>
  </si>
  <si>
    <t>not</t>
  </si>
  <si>
    <t>DEST_REG = !REG_A</t>
  </si>
  <si>
    <t>sal</t>
  </si>
  <si>
    <t>DEST_REG = REG_A &lt;&lt; REG_B</t>
  </si>
  <si>
    <t>sar</t>
  </si>
  <si>
    <t>DEST_REG = REG_A &gt;&gt; REG_B</t>
  </si>
  <si>
    <t>cmpe</t>
  </si>
  <si>
    <t>IF(REG_A == REG_B) 
DEST_REG = 1 :
DEST_REG = 0</t>
  </si>
  <si>
    <t>Операції із прапором CF</t>
  </si>
  <si>
    <t>bt</t>
  </si>
  <si>
    <t>CF = REG_A [REG_B]</t>
  </si>
  <si>
    <t>adb</t>
  </si>
  <si>
    <t>DEST_REG = REG_A + REG_B + CF</t>
  </si>
  <si>
    <t>sbb</t>
  </si>
  <si>
    <t>DEST_REG = REG_A - REG_B - CF</t>
  </si>
  <si>
    <t>rcl</t>
  </si>
  <si>
    <t>DEST_REG = REG_A &lt;&lt; REG_B [CF]</t>
  </si>
  <si>
    <t>rcr</t>
  </si>
  <si>
    <t>DEST_REG = REG_A &gt;&gt; REG_B [CF]</t>
  </si>
  <si>
    <t>Операції керування</t>
  </si>
  <si>
    <t>bez</t>
  </si>
  <si>
    <t>IF(REG_A == 0) 
PC = MEM_ADDR - 1</t>
  </si>
  <si>
    <t>bnez</t>
  </si>
  <si>
    <t>IF(REG_A != 0) 
PC = MEM_ADDR - 1</t>
  </si>
  <si>
    <t>jma</t>
  </si>
  <si>
    <t>IF(REG_A &gt; REG_B) 
PC = MEM_ADDR - 1</t>
  </si>
  <si>
    <t>jmb</t>
  </si>
  <si>
    <t>IF(REG_A &lt; REG_B) 
PC = MEM_ADDR - 1</t>
  </si>
  <si>
    <t>jmae</t>
  </si>
  <si>
    <t>IF(REG_A &gt;= REG_B) 
PC = MEM_ADDR - 1</t>
  </si>
  <si>
    <t>jmbe</t>
  </si>
  <si>
    <t>IF(REG_A &lt;= REG_B) 
PC = MEM_ADDR - 1</t>
  </si>
  <si>
    <t>jm</t>
  </si>
  <si>
    <t>PC = MEM_ADDR - 1</t>
  </si>
  <si>
    <t>halt</t>
  </si>
  <si>
    <t>PC = PC</t>
  </si>
  <si>
    <t>55-44</t>
  </si>
  <si>
    <t>43-39</t>
  </si>
  <si>
    <t>38-32</t>
  </si>
  <si>
    <t>31-25</t>
  </si>
  <si>
    <t>24-7</t>
  </si>
  <si>
    <t>6-0</t>
  </si>
  <si>
    <t>unused</t>
  </si>
  <si>
    <t>regA</t>
  </si>
  <si>
    <t>regB</t>
  </si>
  <si>
    <t>destReg</t>
  </si>
  <si>
    <t>24-0</t>
  </si>
  <si>
    <t>31-0</t>
  </si>
  <si>
    <t>38-0</t>
  </si>
  <si>
    <t>memoryADDR</t>
  </si>
  <si>
    <t>38-25</t>
  </si>
</sst>
</file>

<file path=xl/styles.xml><?xml version="1.0" encoding="utf-8"?>
<styleSheet xmlns="http://schemas.openxmlformats.org/spreadsheetml/2006/main">
  <numFmts count="5">
    <numFmt numFmtId="176" formatCode="#####"/>
    <numFmt numFmtId="44" formatCode="_-&quot;£&quot;* #,##0.00_-;\-&quot;£&quot;* #,##0.00_-;_-&quot;£&quot;* &quot;-&quot;??_-;_-@_-"/>
    <numFmt numFmtId="43" formatCode="_-* #,##0.00_-;\-* #,##0.00_-;_-* &quot;-&quot;??_-;_-@_-"/>
    <numFmt numFmtId="42" formatCode="_-&quot;£&quot;* #,##0_-;\-&quot;£&quot;* #,##0_-;_-&quot;£&quot;* &quot;-&quot;_-;_-@_-"/>
    <numFmt numFmtId="41" formatCode="_-* #,##0_-;\-* #,##0_-;_-* &quot;-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2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thick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2" fillId="8" borderId="2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0" fillId="11" borderId="21" applyNumberFormat="0" applyFont="0" applyAlignment="0" applyProtection="0">
      <alignment vertical="center"/>
    </xf>
    <xf numFmtId="0" fontId="10" fillId="10" borderId="19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19" applyNumberFormat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9" fillId="0" borderId="2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18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20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49" fontId="0" fillId="0" borderId="5" xfId="0" applyNumberForma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5"/>
  <sheetViews>
    <sheetView tabSelected="1" zoomScale="115" zoomScaleNormal="115" topLeftCell="A9" workbookViewId="0">
      <selection activeCell="B2" sqref="B2:H39"/>
    </sheetView>
  </sheetViews>
  <sheetFormatPr defaultColWidth="9" defaultRowHeight="14.25"/>
  <cols>
    <col min="1" max="1" width="6.51666666666667" customWidth="1"/>
    <col min="2" max="2" width="7.60833333333333" customWidth="1"/>
    <col min="3" max="3" width="4.775" customWidth="1"/>
    <col min="5" max="6" width="11.9583333333333" customWidth="1"/>
    <col min="7" max="7" width="11.5166666666667" customWidth="1"/>
    <col min="8" max="8" width="32.1666666666667" customWidth="1"/>
  </cols>
  <sheetData>
    <row r="1" ht="15" spans="4:7">
      <c r="D1" t="s">
        <v>0</v>
      </c>
      <c r="E1" t="s">
        <v>1</v>
      </c>
      <c r="F1" t="s">
        <v>2</v>
      </c>
      <c r="G1" t="s">
        <v>3</v>
      </c>
    </row>
    <row r="2" ht="15.75" spans="1:8">
      <c r="A2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ht="15.75" spans="2:8">
      <c r="B3" s="2" t="s">
        <v>12</v>
      </c>
      <c r="C3" s="3"/>
      <c r="D3" s="3"/>
      <c r="E3" s="3"/>
      <c r="F3" s="3"/>
      <c r="G3" s="3"/>
      <c r="H3" s="12"/>
    </row>
    <row r="4" ht="15" spans="1:8">
      <c r="A4" t="str">
        <f>DEC2HEX(C4)</f>
        <v>0</v>
      </c>
      <c r="B4" s="4" t="str">
        <f>DEC2BIN(C4)</f>
        <v>0</v>
      </c>
      <c r="C4" s="5">
        <v>0</v>
      </c>
      <c r="D4" s="5" t="s">
        <v>13</v>
      </c>
      <c r="E4" s="5" t="s">
        <v>14</v>
      </c>
      <c r="F4" s="5" t="s">
        <v>15</v>
      </c>
      <c r="G4" s="13"/>
      <c r="H4" s="14" t="s">
        <v>16</v>
      </c>
    </row>
    <row r="5" ht="15" spans="1:8">
      <c r="A5" t="str">
        <f>DEC2HEX(C5)</f>
        <v>1</v>
      </c>
      <c r="B5" s="6" t="str">
        <f>DEC2BIN(C5)</f>
        <v>1</v>
      </c>
      <c r="C5" s="7">
        <v>1</v>
      </c>
      <c r="D5" s="7" t="s">
        <v>17</v>
      </c>
      <c r="E5" s="7" t="s">
        <v>14</v>
      </c>
      <c r="F5" s="7" t="s">
        <v>15</v>
      </c>
      <c r="G5" s="15"/>
      <c r="H5" s="14" t="s">
        <v>18</v>
      </c>
    </row>
    <row r="6" ht="15" spans="1:8">
      <c r="A6" t="str">
        <f>DEC2HEX(C6)</f>
        <v>2</v>
      </c>
      <c r="B6" s="6" t="str">
        <f>DEC2BIN(C6)</f>
        <v>10</v>
      </c>
      <c r="C6" s="7">
        <v>2</v>
      </c>
      <c r="D6" s="7" t="s">
        <v>19</v>
      </c>
      <c r="E6" s="7" t="s">
        <v>14</v>
      </c>
      <c r="F6" s="7" t="s">
        <v>20</v>
      </c>
      <c r="G6" s="15"/>
      <c r="H6" s="14" t="s">
        <v>21</v>
      </c>
    </row>
    <row r="7" ht="15" spans="1:8">
      <c r="A7" t="str">
        <f>DEC2HEX(C7)</f>
        <v>3</v>
      </c>
      <c r="B7" s="8" t="str">
        <f>DEC2BIN(C7)</f>
        <v>11</v>
      </c>
      <c r="C7" s="9">
        <v>3</v>
      </c>
      <c r="D7" s="9" t="s">
        <v>22</v>
      </c>
      <c r="E7" s="9" t="s">
        <v>14</v>
      </c>
      <c r="F7" s="9" t="s">
        <v>20</v>
      </c>
      <c r="G7" s="16"/>
      <c r="H7" s="14" t="s">
        <v>23</v>
      </c>
    </row>
    <row r="8" ht="15" spans="2:8">
      <c r="B8" s="10" t="s">
        <v>24</v>
      </c>
      <c r="C8" s="11"/>
      <c r="D8" s="11"/>
      <c r="E8" s="11"/>
      <c r="F8" s="11"/>
      <c r="G8" s="11"/>
      <c r="H8" s="17"/>
    </row>
    <row r="9" ht="15" spans="1:8">
      <c r="A9" t="str">
        <f>DEC2HEX(C9)</f>
        <v>4</v>
      </c>
      <c r="B9" s="4" t="str">
        <f>DEC2BIN(C9)</f>
        <v>100</v>
      </c>
      <c r="C9" s="5">
        <v>4</v>
      </c>
      <c r="D9" s="5" t="s">
        <v>25</v>
      </c>
      <c r="E9" s="5" t="s">
        <v>14</v>
      </c>
      <c r="F9" s="5" t="s">
        <v>20</v>
      </c>
      <c r="G9" s="13" t="s">
        <v>26</v>
      </c>
      <c r="H9" s="14" t="s">
        <v>27</v>
      </c>
    </row>
    <row r="10" ht="15" spans="1:8">
      <c r="A10" t="str">
        <f>DEC2HEX(C10)</f>
        <v>5</v>
      </c>
      <c r="B10" s="6" t="str">
        <f>DEC2BIN(C10)</f>
        <v>101</v>
      </c>
      <c r="C10" s="7">
        <v>5</v>
      </c>
      <c r="D10" s="7" t="s">
        <v>28</v>
      </c>
      <c r="E10" s="7" t="s">
        <v>14</v>
      </c>
      <c r="F10" s="7" t="s">
        <v>20</v>
      </c>
      <c r="G10" s="15" t="s">
        <v>26</v>
      </c>
      <c r="H10" s="14" t="s">
        <v>29</v>
      </c>
    </row>
    <row r="11" ht="28" customHeight="1" spans="1:8">
      <c r="A11" t="str">
        <f>DEC2HEX(C11)</f>
        <v>6</v>
      </c>
      <c r="B11" s="6" t="str">
        <f>DEC2BIN(C11)</f>
        <v>110</v>
      </c>
      <c r="C11" s="7">
        <v>6</v>
      </c>
      <c r="D11" s="7" t="s">
        <v>30</v>
      </c>
      <c r="E11" s="7" t="s">
        <v>14</v>
      </c>
      <c r="F11" s="7" t="s">
        <v>20</v>
      </c>
      <c r="G11" s="15" t="s">
        <v>26</v>
      </c>
      <c r="H11" s="18" t="s">
        <v>31</v>
      </c>
    </row>
    <row r="12" ht="28" customHeight="1" spans="1:8">
      <c r="A12" t="str">
        <f>DEC2HEX(C12)</f>
        <v>7</v>
      </c>
      <c r="B12" s="6" t="str">
        <f>DEC2BIN(C12)</f>
        <v>111</v>
      </c>
      <c r="C12" s="7">
        <v>7</v>
      </c>
      <c r="D12" s="7" t="s">
        <v>32</v>
      </c>
      <c r="E12" s="7" t="s">
        <v>14</v>
      </c>
      <c r="F12" s="7" t="s">
        <v>20</v>
      </c>
      <c r="G12" s="15" t="s">
        <v>26</v>
      </c>
      <c r="H12" s="18" t="s">
        <v>33</v>
      </c>
    </row>
    <row r="13" ht="15" spans="1:8">
      <c r="A13" t="str">
        <f>DEC2HEX(C13)</f>
        <v>8</v>
      </c>
      <c r="B13" s="6" t="str">
        <f>DEC2BIN(C13)</f>
        <v>1000</v>
      </c>
      <c r="C13" s="7">
        <v>8</v>
      </c>
      <c r="D13" s="7" t="s">
        <v>34</v>
      </c>
      <c r="E13" s="7" t="s">
        <v>14</v>
      </c>
      <c r="F13" s="7" t="s">
        <v>20</v>
      </c>
      <c r="G13" s="15" t="s">
        <v>26</v>
      </c>
      <c r="H13" s="14" t="s">
        <v>35</v>
      </c>
    </row>
    <row r="14" ht="15" spans="1:8">
      <c r="A14" t="str">
        <f>DEC2HEX(C14)</f>
        <v>9</v>
      </c>
      <c r="B14" s="6" t="str">
        <f>DEC2BIN(C14)</f>
        <v>1001</v>
      </c>
      <c r="C14" s="7">
        <v>9</v>
      </c>
      <c r="D14" s="7" t="s">
        <v>36</v>
      </c>
      <c r="E14" s="7" t="s">
        <v>14</v>
      </c>
      <c r="F14" s="7" t="s">
        <v>20</v>
      </c>
      <c r="G14" s="15" t="s">
        <v>26</v>
      </c>
      <c r="H14" s="14" t="s">
        <v>37</v>
      </c>
    </row>
    <row r="15" ht="15" spans="1:8">
      <c r="A15" t="str">
        <f>DEC2HEX(C15)</f>
        <v>A</v>
      </c>
      <c r="B15" s="6" t="str">
        <f>DEC2BIN(C15)</f>
        <v>1010</v>
      </c>
      <c r="C15" s="7">
        <v>10</v>
      </c>
      <c r="D15" s="7" t="s">
        <v>38</v>
      </c>
      <c r="E15" s="7" t="s">
        <v>14</v>
      </c>
      <c r="F15" s="7" t="s">
        <v>20</v>
      </c>
      <c r="G15" s="15"/>
      <c r="H15" s="14" t="s">
        <v>39</v>
      </c>
    </row>
    <row r="16" ht="15" spans="1:8">
      <c r="A16" t="str">
        <f>DEC2HEX(C16)</f>
        <v>B</v>
      </c>
      <c r="B16" s="8" t="str">
        <f>DEC2BIN(C16)</f>
        <v>1011</v>
      </c>
      <c r="C16" s="9">
        <v>11</v>
      </c>
      <c r="D16" s="9" t="s">
        <v>40</v>
      </c>
      <c r="E16" s="9" t="s">
        <v>14</v>
      </c>
      <c r="F16" s="9" t="s">
        <v>20</v>
      </c>
      <c r="G16" s="16"/>
      <c r="H16" s="14" t="s">
        <v>41</v>
      </c>
    </row>
    <row r="17" ht="15" spans="2:8">
      <c r="B17" s="10" t="s">
        <v>42</v>
      </c>
      <c r="C17" s="11"/>
      <c r="D17" s="11"/>
      <c r="E17" s="11"/>
      <c r="F17" s="11"/>
      <c r="G17" s="11"/>
      <c r="H17" s="17"/>
    </row>
    <row r="18" ht="15" spans="1:8">
      <c r="A18" t="str">
        <f t="shared" ref="A18:A37" si="0">DEC2HEX(C18)</f>
        <v>C</v>
      </c>
      <c r="B18" s="4" t="str">
        <f t="shared" ref="B18:B37" si="1">DEC2BIN(C18)</f>
        <v>1100</v>
      </c>
      <c r="C18" s="5">
        <v>12</v>
      </c>
      <c r="D18" s="5" t="s">
        <v>43</v>
      </c>
      <c r="E18" s="5" t="s">
        <v>14</v>
      </c>
      <c r="F18" s="5" t="s">
        <v>20</v>
      </c>
      <c r="G18" s="13" t="s">
        <v>26</v>
      </c>
      <c r="H18" s="19" t="s">
        <v>44</v>
      </c>
    </row>
    <row r="19" ht="15" spans="1:8">
      <c r="A19" t="str">
        <f t="shared" si="0"/>
        <v>D</v>
      </c>
      <c r="B19" s="6" t="str">
        <f t="shared" si="1"/>
        <v>1101</v>
      </c>
      <c r="C19" s="7">
        <v>13</v>
      </c>
      <c r="D19" s="7" t="s">
        <v>45</v>
      </c>
      <c r="E19" s="7" t="s">
        <v>14</v>
      </c>
      <c r="F19" s="7" t="s">
        <v>20</v>
      </c>
      <c r="G19" s="15" t="s">
        <v>26</v>
      </c>
      <c r="H19" s="14" t="s">
        <v>46</v>
      </c>
    </row>
    <row r="20" ht="15" spans="1:8">
      <c r="A20" t="str">
        <f t="shared" si="0"/>
        <v>E</v>
      </c>
      <c r="B20" s="6" t="str">
        <f t="shared" si="1"/>
        <v>1110</v>
      </c>
      <c r="C20" s="7">
        <v>14</v>
      </c>
      <c r="D20" s="7" t="s">
        <v>47</v>
      </c>
      <c r="E20" s="7" t="s">
        <v>14</v>
      </c>
      <c r="F20" s="7" t="s">
        <v>20</v>
      </c>
      <c r="G20" s="15" t="s">
        <v>26</v>
      </c>
      <c r="H20" s="14" t="s">
        <v>48</v>
      </c>
    </row>
    <row r="21" ht="15" spans="1:8">
      <c r="A21" t="str">
        <f t="shared" si="0"/>
        <v>F</v>
      </c>
      <c r="B21" s="6" t="str">
        <f t="shared" si="1"/>
        <v>1111</v>
      </c>
      <c r="C21" s="7">
        <v>15</v>
      </c>
      <c r="D21" s="7" t="s">
        <v>49</v>
      </c>
      <c r="E21" s="7" t="s">
        <v>14</v>
      </c>
      <c r="F21" s="7" t="s">
        <v>20</v>
      </c>
      <c r="G21" s="15"/>
      <c r="H21" s="14" t="s">
        <v>50</v>
      </c>
    </row>
    <row r="22" ht="15" spans="1:8">
      <c r="A22" t="str">
        <f t="shared" si="0"/>
        <v>10</v>
      </c>
      <c r="B22" s="6" t="str">
        <f t="shared" si="1"/>
        <v>10000</v>
      </c>
      <c r="C22" s="7">
        <v>16</v>
      </c>
      <c r="D22" s="7" t="s">
        <v>51</v>
      </c>
      <c r="E22" s="7" t="s">
        <v>14</v>
      </c>
      <c r="F22" s="7" t="s">
        <v>20</v>
      </c>
      <c r="G22" s="15" t="s">
        <v>26</v>
      </c>
      <c r="H22" s="14" t="s">
        <v>52</v>
      </c>
    </row>
    <row r="23" ht="15" spans="1:8">
      <c r="A23" t="str">
        <f t="shared" si="0"/>
        <v>11</v>
      </c>
      <c r="B23" s="6" t="str">
        <f t="shared" si="1"/>
        <v>10001</v>
      </c>
      <c r="C23" s="7">
        <v>17</v>
      </c>
      <c r="D23" s="7" t="s">
        <v>53</v>
      </c>
      <c r="E23" s="7" t="s">
        <v>14</v>
      </c>
      <c r="F23" s="7" t="s">
        <v>20</v>
      </c>
      <c r="G23" s="15" t="s">
        <v>26</v>
      </c>
      <c r="H23" s="14" t="s">
        <v>54</v>
      </c>
    </row>
    <row r="24" ht="43.5" spans="1:8">
      <c r="A24" t="str">
        <f t="shared" si="0"/>
        <v>12</v>
      </c>
      <c r="B24" s="8" t="str">
        <f t="shared" si="1"/>
        <v>10010</v>
      </c>
      <c r="C24" s="9">
        <v>18</v>
      </c>
      <c r="D24" s="9" t="s">
        <v>55</v>
      </c>
      <c r="E24" s="9" t="s">
        <v>14</v>
      </c>
      <c r="F24" s="9" t="s">
        <v>20</v>
      </c>
      <c r="G24" s="16" t="s">
        <v>26</v>
      </c>
      <c r="H24" s="20" t="s">
        <v>56</v>
      </c>
    </row>
    <row r="25" ht="15" spans="2:8">
      <c r="B25" s="10" t="s">
        <v>57</v>
      </c>
      <c r="C25" s="11"/>
      <c r="D25" s="11"/>
      <c r="E25" s="11"/>
      <c r="F25" s="11"/>
      <c r="G25" s="11"/>
      <c r="H25" s="17"/>
    </row>
    <row r="26" ht="15" spans="1:8">
      <c r="A26" t="str">
        <f>DEC2HEX(C26)</f>
        <v>13</v>
      </c>
      <c r="B26" s="4" t="str">
        <f>DEC2BIN(C26)</f>
        <v>10011</v>
      </c>
      <c r="C26" s="5">
        <v>19</v>
      </c>
      <c r="D26" s="5" t="s">
        <v>58</v>
      </c>
      <c r="E26" s="5" t="s">
        <v>14</v>
      </c>
      <c r="F26" s="5" t="s">
        <v>20</v>
      </c>
      <c r="G26" s="13"/>
      <c r="H26" s="19" t="s">
        <v>59</v>
      </c>
    </row>
    <row r="27" ht="15" spans="1:8">
      <c r="A27" t="str">
        <f>DEC2HEX(C27)</f>
        <v>14</v>
      </c>
      <c r="B27" s="6" t="str">
        <f>DEC2BIN(C27)</f>
        <v>10100</v>
      </c>
      <c r="C27" s="7">
        <v>20</v>
      </c>
      <c r="D27" s="7" t="s">
        <v>60</v>
      </c>
      <c r="E27" s="7" t="s">
        <v>14</v>
      </c>
      <c r="F27" s="7" t="s">
        <v>20</v>
      </c>
      <c r="G27" s="15" t="s">
        <v>26</v>
      </c>
      <c r="H27" s="14" t="s">
        <v>61</v>
      </c>
    </row>
    <row r="28" ht="15" spans="1:8">
      <c r="A28" t="str">
        <f>DEC2HEX(C28)</f>
        <v>15</v>
      </c>
      <c r="B28" s="6" t="str">
        <f>DEC2BIN(C28)</f>
        <v>10101</v>
      </c>
      <c r="C28" s="7">
        <v>21</v>
      </c>
      <c r="D28" s="7" t="s">
        <v>62</v>
      </c>
      <c r="E28" s="7" t="s">
        <v>14</v>
      </c>
      <c r="F28" s="7" t="s">
        <v>20</v>
      </c>
      <c r="G28" s="15" t="s">
        <v>26</v>
      </c>
      <c r="H28" s="14" t="s">
        <v>63</v>
      </c>
    </row>
    <row r="29" ht="15" spans="1:8">
      <c r="A29" t="str">
        <f>DEC2HEX(C29)</f>
        <v>16</v>
      </c>
      <c r="B29" s="6" t="str">
        <f>DEC2BIN(C29)</f>
        <v>10110</v>
      </c>
      <c r="C29" s="7">
        <v>22</v>
      </c>
      <c r="D29" s="7" t="s">
        <v>64</v>
      </c>
      <c r="E29" s="7" t="s">
        <v>14</v>
      </c>
      <c r="F29" s="7" t="s">
        <v>20</v>
      </c>
      <c r="G29" s="15" t="s">
        <v>26</v>
      </c>
      <c r="H29" s="14" t="s">
        <v>65</v>
      </c>
    </row>
    <row r="30" ht="15" spans="1:8">
      <c r="A30" t="str">
        <f>DEC2HEX(C30)</f>
        <v>17</v>
      </c>
      <c r="B30" s="8" t="str">
        <f>DEC2BIN(C30)</f>
        <v>10111</v>
      </c>
      <c r="C30" s="9">
        <v>23</v>
      </c>
      <c r="D30" s="9" t="s">
        <v>66</v>
      </c>
      <c r="E30" s="9" t="s">
        <v>14</v>
      </c>
      <c r="F30" s="9" t="s">
        <v>20</v>
      </c>
      <c r="G30" s="16" t="s">
        <v>26</v>
      </c>
      <c r="H30" s="21" t="s">
        <v>67</v>
      </c>
    </row>
    <row r="31" ht="15" spans="2:8">
      <c r="B31" s="10" t="s">
        <v>68</v>
      </c>
      <c r="C31" s="11"/>
      <c r="D31" s="11"/>
      <c r="E31" s="11"/>
      <c r="F31" s="11"/>
      <c r="G31" s="11"/>
      <c r="H31" s="17"/>
    </row>
    <row r="32" ht="29.25" spans="1:8">
      <c r="A32" t="str">
        <f>DEC2HEX(C32)</f>
        <v>18</v>
      </c>
      <c r="B32" s="4" t="str">
        <f>DEC2BIN(C32)</f>
        <v>11000</v>
      </c>
      <c r="C32" s="5">
        <v>24</v>
      </c>
      <c r="D32" s="5" t="s">
        <v>69</v>
      </c>
      <c r="E32" s="5" t="s">
        <v>14</v>
      </c>
      <c r="F32" s="5" t="s">
        <v>15</v>
      </c>
      <c r="G32" s="13"/>
      <c r="H32" s="22" t="s">
        <v>70</v>
      </c>
    </row>
    <row r="33" ht="29.25" spans="1:8">
      <c r="A33" t="str">
        <f>DEC2HEX(C33)</f>
        <v>19</v>
      </c>
      <c r="B33" s="6" t="str">
        <f>DEC2BIN(C33)</f>
        <v>11001</v>
      </c>
      <c r="C33" s="7">
        <v>25</v>
      </c>
      <c r="D33" s="7" t="s">
        <v>71</v>
      </c>
      <c r="E33" s="7" t="s">
        <v>14</v>
      </c>
      <c r="F33" s="7" t="s">
        <v>15</v>
      </c>
      <c r="G33" s="15"/>
      <c r="H33" s="18" t="s">
        <v>72</v>
      </c>
    </row>
    <row r="34" ht="29.25" spans="1:8">
      <c r="A34" t="str">
        <f>DEC2HEX(C34)</f>
        <v>1A</v>
      </c>
      <c r="B34" s="6" t="str">
        <f>DEC2BIN(C34)</f>
        <v>11010</v>
      </c>
      <c r="C34" s="7">
        <v>26</v>
      </c>
      <c r="D34" s="7" t="s">
        <v>73</v>
      </c>
      <c r="E34" s="7" t="s">
        <v>14</v>
      </c>
      <c r="F34" s="7" t="s">
        <v>20</v>
      </c>
      <c r="G34" s="15" t="s">
        <v>15</v>
      </c>
      <c r="H34" s="18" t="s">
        <v>74</v>
      </c>
    </row>
    <row r="35" ht="29.25" spans="1:8">
      <c r="A35" t="str">
        <f>DEC2HEX(C35)</f>
        <v>1B</v>
      </c>
      <c r="B35" s="6" t="str">
        <f>DEC2BIN(C35)</f>
        <v>11011</v>
      </c>
      <c r="C35" s="7">
        <v>27</v>
      </c>
      <c r="D35" s="7" t="s">
        <v>75</v>
      </c>
      <c r="E35" s="7" t="s">
        <v>14</v>
      </c>
      <c r="F35" s="7" t="s">
        <v>20</v>
      </c>
      <c r="G35" s="15" t="s">
        <v>15</v>
      </c>
      <c r="H35" s="18" t="s">
        <v>76</v>
      </c>
    </row>
    <row r="36" ht="29.25" spans="1:8">
      <c r="A36" t="str">
        <f>DEC2HEX(C36)</f>
        <v>1C</v>
      </c>
      <c r="B36" s="6" t="str">
        <f>DEC2BIN(C36)</f>
        <v>11100</v>
      </c>
      <c r="C36" s="7">
        <v>28</v>
      </c>
      <c r="D36" s="7" t="s">
        <v>77</v>
      </c>
      <c r="E36" s="7" t="s">
        <v>14</v>
      </c>
      <c r="F36" s="7" t="s">
        <v>20</v>
      </c>
      <c r="G36" s="15" t="s">
        <v>15</v>
      </c>
      <c r="H36" s="18" t="s">
        <v>78</v>
      </c>
    </row>
    <row r="37" ht="29.25" spans="1:8">
      <c r="A37" t="str">
        <f>DEC2HEX(C37)</f>
        <v>1D</v>
      </c>
      <c r="B37" s="6" t="str">
        <f>DEC2BIN(C37)</f>
        <v>11101</v>
      </c>
      <c r="C37" s="7">
        <v>29</v>
      </c>
      <c r="D37" s="7" t="s">
        <v>79</v>
      </c>
      <c r="E37" s="7" t="s">
        <v>14</v>
      </c>
      <c r="F37" s="7" t="s">
        <v>20</v>
      </c>
      <c r="G37" s="15" t="s">
        <v>15</v>
      </c>
      <c r="H37" s="18" t="s">
        <v>80</v>
      </c>
    </row>
    <row r="38" ht="15" spans="1:8">
      <c r="A38" t="str">
        <f>DEC2HEX(C38)</f>
        <v>1E</v>
      </c>
      <c r="B38" s="6" t="str">
        <f>DEC2BIN(C38)</f>
        <v>11110</v>
      </c>
      <c r="C38" s="7">
        <v>30</v>
      </c>
      <c r="D38" s="7" t="s">
        <v>81</v>
      </c>
      <c r="E38" s="7" t="s">
        <v>15</v>
      </c>
      <c r="F38" s="7"/>
      <c r="G38" s="15"/>
      <c r="H38" s="14" t="s">
        <v>82</v>
      </c>
    </row>
    <row r="39" ht="15" spans="1:8">
      <c r="A39" t="str">
        <f>DEC2HEX(C39)</f>
        <v>1F</v>
      </c>
      <c r="B39" s="6" t="str">
        <f>DEC2BIN(C39)</f>
        <v>11111</v>
      </c>
      <c r="C39" s="7">
        <v>31</v>
      </c>
      <c r="D39" s="7" t="s">
        <v>83</v>
      </c>
      <c r="E39" s="7"/>
      <c r="F39" s="7"/>
      <c r="G39" s="15"/>
      <c r="H39" s="14" t="s">
        <v>84</v>
      </c>
    </row>
    <row r="56" spans="5:10">
      <c r="E56" s="23" t="s">
        <v>85</v>
      </c>
      <c r="F56" s="23" t="s">
        <v>86</v>
      </c>
      <c r="G56" s="23" t="s">
        <v>87</v>
      </c>
      <c r="H56" s="23" t="s">
        <v>88</v>
      </c>
      <c r="I56" s="26" t="s">
        <v>89</v>
      </c>
      <c r="J56" s="26" t="s">
        <v>90</v>
      </c>
    </row>
    <row r="57" spans="5:10">
      <c r="E57" s="24" t="s">
        <v>91</v>
      </c>
      <c r="F57" s="24" t="s">
        <v>7</v>
      </c>
      <c r="G57" s="24" t="s">
        <v>92</v>
      </c>
      <c r="H57" s="24" t="s">
        <v>93</v>
      </c>
      <c r="I57" s="24" t="s">
        <v>91</v>
      </c>
      <c r="J57" s="24" t="s">
        <v>94</v>
      </c>
    </row>
    <row r="58" spans="5:10">
      <c r="E58" s="25"/>
      <c r="F58" s="25"/>
      <c r="G58" s="25"/>
      <c r="H58" s="25"/>
      <c r="I58" s="25"/>
      <c r="J58" s="25"/>
    </row>
    <row r="59" spans="5:10">
      <c r="E59" s="23" t="s">
        <v>85</v>
      </c>
      <c r="F59" s="23" t="s">
        <v>86</v>
      </c>
      <c r="G59" s="23" t="s">
        <v>87</v>
      </c>
      <c r="H59" s="23" t="s">
        <v>88</v>
      </c>
      <c r="I59" s="23" t="s">
        <v>95</v>
      </c>
      <c r="J59" s="23"/>
    </row>
    <row r="60" spans="5:10">
      <c r="E60" s="24" t="s">
        <v>91</v>
      </c>
      <c r="F60" s="24" t="s">
        <v>7</v>
      </c>
      <c r="G60" s="24" t="s">
        <v>92</v>
      </c>
      <c r="H60" s="24" t="s">
        <v>93</v>
      </c>
      <c r="I60" s="24" t="s">
        <v>91</v>
      </c>
      <c r="J60" s="24"/>
    </row>
    <row r="61" spans="5:10">
      <c r="E61" s="25"/>
      <c r="F61" s="25"/>
      <c r="G61" s="25"/>
      <c r="H61" s="25"/>
      <c r="I61" s="25"/>
      <c r="J61" s="25"/>
    </row>
    <row r="62" spans="5:10">
      <c r="E62" s="23" t="s">
        <v>85</v>
      </c>
      <c r="F62" s="23" t="s">
        <v>86</v>
      </c>
      <c r="G62" s="23" t="s">
        <v>87</v>
      </c>
      <c r="H62" s="23" t="s">
        <v>96</v>
      </c>
      <c r="I62" s="23"/>
      <c r="J62" s="23"/>
    </row>
    <row r="63" spans="5:10">
      <c r="E63" s="24" t="s">
        <v>91</v>
      </c>
      <c r="F63" s="24" t="s">
        <v>7</v>
      </c>
      <c r="G63" s="24" t="s">
        <v>92</v>
      </c>
      <c r="H63" s="24" t="s">
        <v>91</v>
      </c>
      <c r="I63" s="24"/>
      <c r="J63" s="24"/>
    </row>
    <row r="64" spans="5:10">
      <c r="E64" s="25"/>
      <c r="F64" s="25"/>
      <c r="G64" s="25"/>
      <c r="H64" s="25"/>
      <c r="I64" s="25"/>
      <c r="J64" s="25"/>
    </row>
    <row r="65" spans="5:10">
      <c r="E65" s="23" t="s">
        <v>85</v>
      </c>
      <c r="F65" s="23" t="s">
        <v>86</v>
      </c>
      <c r="G65" s="23" t="s">
        <v>97</v>
      </c>
      <c r="H65" s="23"/>
      <c r="I65" s="23"/>
      <c r="J65" s="23"/>
    </row>
    <row r="66" spans="5:10">
      <c r="E66" s="24" t="s">
        <v>91</v>
      </c>
      <c r="F66" s="24" t="s">
        <v>7</v>
      </c>
      <c r="G66" s="24" t="s">
        <v>91</v>
      </c>
      <c r="H66" s="24"/>
      <c r="I66" s="24"/>
      <c r="J66" s="24"/>
    </row>
    <row r="67" spans="5:10">
      <c r="E67" s="25"/>
      <c r="F67" s="25"/>
      <c r="G67" s="25"/>
      <c r="H67" s="25"/>
      <c r="I67" s="25"/>
      <c r="J67" s="25"/>
    </row>
    <row r="68" spans="5:10">
      <c r="E68" s="23" t="s">
        <v>85</v>
      </c>
      <c r="F68" s="23" t="s">
        <v>86</v>
      </c>
      <c r="G68" s="23" t="s">
        <v>87</v>
      </c>
      <c r="H68" s="23" t="s">
        <v>88</v>
      </c>
      <c r="I68" s="23" t="s">
        <v>95</v>
      </c>
      <c r="J68" s="23"/>
    </row>
    <row r="69" spans="5:10">
      <c r="E69" s="24" t="s">
        <v>91</v>
      </c>
      <c r="F69" s="24" t="s">
        <v>7</v>
      </c>
      <c r="G69" s="24" t="s">
        <v>92</v>
      </c>
      <c r="H69" s="24" t="s">
        <v>93</v>
      </c>
      <c r="I69" s="24" t="s">
        <v>98</v>
      </c>
      <c r="J69" s="24"/>
    </row>
    <row r="70" spans="5:10">
      <c r="E70" s="25"/>
      <c r="F70" s="25"/>
      <c r="G70" s="25"/>
      <c r="H70" s="25"/>
      <c r="I70" s="25"/>
      <c r="J70" s="25"/>
    </row>
    <row r="71" spans="5:10">
      <c r="E71" s="23" t="s">
        <v>85</v>
      </c>
      <c r="F71" s="23" t="s">
        <v>86</v>
      </c>
      <c r="G71" s="23" t="s">
        <v>87</v>
      </c>
      <c r="H71" s="23" t="s">
        <v>88</v>
      </c>
      <c r="I71" s="23" t="s">
        <v>95</v>
      </c>
      <c r="J71" s="23"/>
    </row>
    <row r="72" spans="5:10">
      <c r="E72" s="24" t="s">
        <v>91</v>
      </c>
      <c r="F72" s="24" t="s">
        <v>7</v>
      </c>
      <c r="G72" s="24" t="s">
        <v>92</v>
      </c>
      <c r="H72" s="24" t="s">
        <v>91</v>
      </c>
      <c r="I72" s="24" t="s">
        <v>98</v>
      </c>
      <c r="J72" s="24"/>
    </row>
    <row r="73" spans="5:10">
      <c r="E73" s="25"/>
      <c r="F73" s="25"/>
      <c r="G73" s="25"/>
      <c r="H73" s="25"/>
      <c r="I73" s="25"/>
      <c r="J73" s="25"/>
    </row>
    <row r="74" spans="5:10">
      <c r="E74" s="23" t="s">
        <v>85</v>
      </c>
      <c r="F74" s="23" t="s">
        <v>86</v>
      </c>
      <c r="G74" s="27" t="s">
        <v>99</v>
      </c>
      <c r="H74" s="28"/>
      <c r="I74" s="23" t="s">
        <v>95</v>
      </c>
      <c r="J74" s="23"/>
    </row>
    <row r="75" spans="5:10">
      <c r="E75" s="24" t="s">
        <v>91</v>
      </c>
      <c r="F75" s="24" t="s">
        <v>7</v>
      </c>
      <c r="G75" s="29" t="s">
        <v>91</v>
      </c>
      <c r="H75" s="30"/>
      <c r="I75" s="24" t="s">
        <v>98</v>
      </c>
      <c r="J75" s="24"/>
    </row>
  </sheetData>
  <mergeCells count="19">
    <mergeCell ref="B3:H3"/>
    <mergeCell ref="B8:H8"/>
    <mergeCell ref="B17:H17"/>
    <mergeCell ref="B25:H25"/>
    <mergeCell ref="B31:H31"/>
    <mergeCell ref="I59:J59"/>
    <mergeCell ref="I60:J60"/>
    <mergeCell ref="H62:J62"/>
    <mergeCell ref="H63:J63"/>
    <mergeCell ref="G65:J65"/>
    <mergeCell ref="G66:J66"/>
    <mergeCell ref="I68:J68"/>
    <mergeCell ref="I69:J69"/>
    <mergeCell ref="I71:J71"/>
    <mergeCell ref="I72:J72"/>
    <mergeCell ref="G74:H74"/>
    <mergeCell ref="I74:J74"/>
    <mergeCell ref="G75:H75"/>
    <mergeCell ref="I75:J7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maksgmaks</dc:creator>
  <cp:lastModifiedBy>maksgmaks</cp:lastModifiedBy>
  <dcterms:created xsi:type="dcterms:W3CDTF">2024-12-14T20:05:00Z</dcterms:created>
  <dcterms:modified xsi:type="dcterms:W3CDTF">2024-12-16T01:08:07Z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